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4 Pilastri" sheetId="2" state="visible" r:id="rId2"/>
    <sheet name="Scadenze Fiscali" sheetId="3" state="visible" r:id="rId3"/>
    <sheet name="Categorie" sheetId="4" state="visible" r:id="rId4"/>
    <sheet name="2026 - Previsiona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ADD8E6"/>
        <bgColor rgb="00ADD8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10" fontId="0" fillId="2" borderId="0" pivotButton="0" quotePrefix="0" xfId="0"/>
    <xf numFmtId="0" fontId="4" fillId="5" borderId="0" pivotButton="0" quotePrefix="0" xfId="0"/>
    <xf numFmtId="164" fontId="0" fillId="4" borderId="0" pivotButton="0" quotePrefix="0" xfId="0"/>
    <xf numFmtId="10" fontId="0" fillId="4" borderId="0" pivotButton="0" quotePrefix="0" xfId="0"/>
    <xf numFmtId="164" fontId="0" fillId="3" borderId="0" pivotButton="0" quotePrefix="0" xfId="0"/>
    <xf numFmtId="0" fontId="4" fillId="5" borderId="1" pivotButton="0" quotePrefix="0" xfId="0"/>
    <xf numFmtId="164" fontId="0" fillId="2" borderId="0" pivotButton="0" quotePrefix="0" xfId="0"/>
    <xf numFmtId="164" fontId="2" fillId="4" borderId="0" pivotButton="0" quotePrefix="0" xfId="0"/>
    <xf numFmtId="165" fontId="0" fillId="4" borderId="0" pivotButton="0" quotePrefix="0" xfId="0"/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5" customWidth="1" min="5" max="5"/>
    <col width="15" customWidth="1" min="6" max="6"/>
  </cols>
  <sheetData>
    <row r="1">
      <c r="A1" s="1" t="inlineStr">
        <is>
          <t>CONTASPICCIOLI 2026</t>
        </is>
      </c>
    </row>
    <row r="3">
      <c r="A3" s="2" t="inlineStr">
        <is>
          <t>LEGENDA</t>
        </is>
      </c>
    </row>
    <row r="4">
      <c r="A4" s="3" t="inlineStr">
        <is>
          <t>Celle verdi = input globali (modifica con cura)</t>
        </is>
      </c>
    </row>
    <row r="5">
      <c r="A5" s="4" t="inlineStr">
        <is>
          <t>Celle rosse = input mensili/simulazioni</t>
        </is>
      </c>
    </row>
    <row r="6">
      <c r="A6" s="5" t="inlineStr">
        <is>
          <t>Celle blu = formule automatiche (non toccare)</t>
        </is>
      </c>
    </row>
    <row r="8">
      <c r="A8" s="6" t="inlineStr">
        <is>
          <t>PARAMETRI BUDGET 2026</t>
        </is>
      </c>
      <c r="E8" s="6" t="inlineStr">
        <is>
          <t>IMPOSTAZIONI P.IVA FORFETTARIA</t>
        </is>
      </c>
    </row>
    <row r="10">
      <c r="A10" t="inlineStr">
        <is>
          <t>Entrata mensile prevista</t>
        </is>
      </c>
      <c r="B10" s="3" t="n">
        <v>3500</v>
      </c>
      <c r="C10" t="inlineStr">
        <is>
          <t>€</t>
        </is>
      </c>
      <c r="E10" t="inlineStr">
        <is>
          <t>Aliquota INPS</t>
        </is>
      </c>
      <c r="F10" s="7" t="n">
        <v>0.2598</v>
      </c>
    </row>
    <row r="11">
      <c r="E11" t="inlineStr">
        <is>
          <t>Coeff. redditività</t>
        </is>
      </c>
      <c r="F11" s="7" t="n">
        <v>0.78</v>
      </c>
    </row>
    <row r="12">
      <c r="A12" s="8" t="inlineStr">
        <is>
          <t>Voce</t>
        </is>
      </c>
      <c r="B12" s="8" t="inlineStr">
        <is>
          <t>Percentuale</t>
        </is>
      </c>
      <c r="C12" s="8" t="inlineStr">
        <is>
          <t>€/mese</t>
        </is>
      </c>
      <c r="E12" t="inlineStr">
        <is>
          <t>Aliquota fiscale</t>
        </is>
      </c>
      <c r="F12" s="7" t="n">
        <v>0.05</v>
      </c>
    </row>
    <row r="13">
      <c r="A13" t="inlineStr">
        <is>
          <t>Spese fisse</t>
        </is>
      </c>
      <c r="B13" s="7" t="n">
        <v>0.3337</v>
      </c>
      <c r="C13" s="9">
        <f>B10*B13</f>
        <v/>
      </c>
    </row>
    <row r="14">
      <c r="A14" t="inlineStr">
        <is>
          <t>Spese variabili</t>
        </is>
      </c>
      <c r="B14" s="7" t="n">
        <v>0.2546</v>
      </c>
      <c r="C14" s="9">
        <f>B10*B14</f>
        <v/>
      </c>
    </row>
    <row r="15">
      <c r="A15" t="inlineStr">
        <is>
          <t>XEON tasse (3° pilastro)</t>
        </is>
      </c>
      <c r="B15" s="7" t="n">
        <v>0.3143</v>
      </c>
      <c r="C15" s="9">
        <f>B10*B15</f>
        <v/>
      </c>
    </row>
    <row r="16">
      <c r="A16" t="inlineStr">
        <is>
          <t>ETF investimenti (4° pilastro)</t>
        </is>
      </c>
      <c r="B16" s="7" t="n">
        <v>0.0974</v>
      </c>
      <c r="C16" s="9">
        <f>B10*B16</f>
        <v/>
      </c>
    </row>
    <row r="17">
      <c r="A17" s="2" t="inlineStr">
        <is>
          <t>Totale</t>
        </is>
      </c>
      <c r="B17" s="10">
        <f>SUM(B13:B16)</f>
        <v/>
      </c>
      <c r="C17" s="9">
        <f>SUM(C13:C16)</f>
        <v/>
      </c>
    </row>
    <row r="20">
      <c r="A20" s="6" t="inlineStr">
        <is>
          <t>SIMULATORE</t>
        </is>
      </c>
    </row>
    <row r="21">
      <c r="A21" t="inlineStr">
        <is>
          <t>Inserisci importo per simulare divisione:</t>
        </is>
      </c>
      <c r="B21" s="11" t="n">
        <v>3500</v>
      </c>
    </row>
    <row r="23">
      <c r="A23" t="inlineStr">
        <is>
          <t>Spese fisse</t>
        </is>
      </c>
      <c r="B23" s="9">
        <f>B21*B13</f>
        <v/>
      </c>
    </row>
    <row r="24">
      <c r="A24" t="inlineStr">
        <is>
          <t>Spese variabili</t>
        </is>
      </c>
      <c r="B24" s="9">
        <f>B21*B14</f>
        <v/>
      </c>
    </row>
    <row r="25">
      <c r="A25" t="inlineStr">
        <is>
          <t>XEON tasse</t>
        </is>
      </c>
      <c r="B25" s="9">
        <f>B21*B15</f>
        <v/>
      </c>
    </row>
    <row r="26">
      <c r="A26" t="inlineStr">
        <is>
          <t>ETF investimenti</t>
        </is>
      </c>
      <c r="B26" s="9">
        <f>B21*B16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 4 PILASTRI DEL BUDGET 2026</t>
        </is>
      </c>
    </row>
    <row r="3">
      <c r="A3" s="12" t="inlineStr">
        <is>
          <t>Pilastro</t>
        </is>
      </c>
      <c r="B3" s="12" t="inlineStr">
        <is>
          <t>Saldo Iniziale</t>
        </is>
      </c>
      <c r="C3" s="12" t="inlineStr">
        <is>
          <t>Accantonato YTD</t>
        </is>
      </c>
      <c r="D3" s="12" t="inlineStr">
        <is>
          <t>Prelievi YTD</t>
        </is>
      </c>
      <c r="E3" s="12" t="inlineStr">
        <is>
          <t>Saldo Teorico</t>
        </is>
      </c>
      <c r="F3" s="12" t="inlineStr">
        <is>
          <t>Saldo Reale</t>
        </is>
      </c>
      <c r="G3" s="12" t="inlineStr">
        <is>
          <t>Differenza</t>
        </is>
      </c>
    </row>
    <row r="4">
      <c r="A4" s="2" t="inlineStr">
        <is>
          <t>1° Conto corrente</t>
        </is>
      </c>
      <c r="B4" s="13" t="n">
        <v>5958.57</v>
      </c>
      <c r="C4" s="9">
        <f>Overview!C13+Overview!C14</f>
        <v/>
      </c>
      <c r="D4" s="11" t="n">
        <v>0</v>
      </c>
      <c r="E4" s="9">
        <f>B4+C4-D4</f>
        <v/>
      </c>
      <c r="F4" s="11" t="n">
        <v>0</v>
      </c>
      <c r="G4" s="9">
        <f>F4-E4</f>
        <v/>
      </c>
    </row>
    <row r="5">
      <c r="A5" s="2" t="inlineStr">
        <is>
          <t>2° XEON emergenza</t>
        </is>
      </c>
      <c r="B5" s="13" t="n">
        <v>10000</v>
      </c>
      <c r="C5" s="9" t="n">
        <v>0</v>
      </c>
      <c r="D5" s="11" t="n">
        <v>0</v>
      </c>
      <c r="E5" s="9">
        <f>B5+C5-D5</f>
        <v/>
      </c>
      <c r="F5" s="11" t="n">
        <v>0</v>
      </c>
      <c r="G5" s="9">
        <f>F5-E5</f>
        <v/>
      </c>
    </row>
    <row r="6">
      <c r="A6" s="2" t="inlineStr">
        <is>
          <t>3° XEON tasse</t>
        </is>
      </c>
      <c r="B6" s="13" t="n">
        <v>3000</v>
      </c>
      <c r="C6" s="9">
        <f>Overview!C15*12</f>
        <v/>
      </c>
      <c r="D6" s="11" t="n">
        <v>12987</v>
      </c>
      <c r="E6" s="9">
        <f>B6+C6-D6</f>
        <v/>
      </c>
      <c r="F6" s="11" t="n">
        <v>0</v>
      </c>
      <c r="G6" s="9">
        <f>F6-E6</f>
        <v/>
      </c>
    </row>
    <row r="7">
      <c r="A7" s="2" t="inlineStr">
        <is>
          <t>4° ETF investimenti</t>
        </is>
      </c>
      <c r="B7" s="13" t="n">
        <v>0</v>
      </c>
      <c r="C7" s="9">
        <f>Overview!C16*12</f>
        <v/>
      </c>
      <c r="D7" s="11" t="n">
        <v>0</v>
      </c>
      <c r="E7" s="9">
        <f>B7+C7-D7</f>
        <v/>
      </c>
      <c r="F7" s="11" t="n">
        <v>0</v>
      </c>
      <c r="G7" s="9">
        <f>F7-E7</f>
        <v/>
      </c>
    </row>
    <row r="8">
      <c r="A8" s="2" t="inlineStr">
        <is>
          <t>TOTALE PATRIMONIO</t>
        </is>
      </c>
      <c r="E8" s="14">
        <f>SUM(E4:E7)</f>
        <v/>
      </c>
      <c r="F8" s="14">
        <f>SUM(F4:F7)</f>
        <v/>
      </c>
    </row>
    <row r="11">
      <c r="A11" s="6" t="inlineStr">
        <is>
          <t>RICONCILIAZIONE MENSILE</t>
        </is>
      </c>
    </row>
    <row r="13">
      <c r="A13" t="inlineStr">
        <is>
          <t>Data ultima riconciliazione:</t>
        </is>
      </c>
      <c r="B13" s="4" t="inlineStr">
        <is>
          <t>01/01/2026</t>
        </is>
      </c>
    </row>
    <row r="15">
      <c r="A15" t="inlineStr">
        <is>
          <t>Note:</t>
        </is>
      </c>
    </row>
    <row r="16">
      <c r="A16" t="inlineStr">
        <is>
          <t>- Inserisci il saldo reale nella colonna F dopo aver verificato i conti</t>
        </is>
      </c>
    </row>
    <row r="17">
      <c r="A17" t="inlineStr">
        <is>
          <t>- La colonna G mostra la differenza tra teorico e reale</t>
        </is>
      </c>
    </row>
    <row r="18">
      <c r="A18" t="inlineStr">
        <is>
          <t>- Differenze positive = hai più del previsto</t>
        </is>
      </c>
    </row>
    <row r="19">
      <c r="A19" t="inlineStr">
        <is>
          <t>- Differenze negative = hai meno del previsto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SCADENZE FISCALI 2026</t>
        </is>
      </c>
    </row>
    <row r="3">
      <c r="A3" s="8" t="inlineStr">
        <is>
          <t>Scadenza</t>
        </is>
      </c>
      <c r="B3" s="8" t="inlineStr">
        <is>
          <t>Data</t>
        </is>
      </c>
      <c r="C3" s="8" t="inlineStr">
        <is>
          <t>Importo Dovuto</t>
        </is>
      </c>
      <c r="D3" s="8" t="inlineStr">
        <is>
          <t>Pagato</t>
        </is>
      </c>
      <c r="E3" s="8" t="inlineStr">
        <is>
          <t>Residuo</t>
        </is>
      </c>
      <c r="F3" s="8" t="inlineStr">
        <is>
          <t>Stato</t>
        </is>
      </c>
    </row>
    <row r="4">
      <c r="A4" t="inlineStr">
        <is>
          <t>Saldo + 1° acconto 2025</t>
        </is>
      </c>
      <c r="B4" t="inlineStr">
        <is>
          <t>30/06/2026</t>
        </is>
      </c>
      <c r="C4" s="9" t="n">
        <v>7527</v>
      </c>
      <c r="D4" s="11" t="n">
        <v>0</v>
      </c>
      <c r="E4" s="9">
        <f>C4-D4</f>
        <v/>
      </c>
      <c r="F4" s="5">
        <f>IF(D4&gt;=C4,"PAGATO","DA PAGARE")</f>
        <v/>
      </c>
    </row>
    <row r="5">
      <c r="A5" t="inlineStr">
        <is>
          <t>2° acconto 2025</t>
        </is>
      </c>
      <c r="B5" t="inlineStr">
        <is>
          <t>30/11/2026</t>
        </is>
      </c>
      <c r="C5" s="9" t="n">
        <v>5460</v>
      </c>
      <c r="D5" s="11" t="n">
        <v>0</v>
      </c>
      <c r="E5" s="9">
        <f>C5-D5</f>
        <v/>
      </c>
      <c r="F5" s="5">
        <f>IF(D5&gt;=C5,"PAGATO","DA PAGARE")</f>
        <v/>
      </c>
    </row>
    <row r="7">
      <c r="A7" s="2" t="inlineStr">
        <is>
          <t>TOTALE</t>
        </is>
      </c>
      <c r="C7" s="14">
        <f>SUM(C4:C5)</f>
        <v/>
      </c>
      <c r="D7" s="14">
        <f>SUM(D4:D5)</f>
        <v/>
      </c>
      <c r="E7" s="14">
        <f>SUM(E4:E5)</f>
        <v/>
      </c>
    </row>
    <row r="10">
      <c r="A10" s="6" t="inlineStr">
        <is>
          <t>ACCANTONAMENTO TASSE</t>
        </is>
      </c>
    </row>
    <row r="12">
      <c r="A12" t="inlineStr">
        <is>
          <t>Saldo XEON tasse (3° pilastro):</t>
        </is>
      </c>
      <c r="B12" s="9">
        <f>'4 Pilastri'!E6</f>
        <v/>
      </c>
    </row>
    <row r="13">
      <c r="A13" t="inlineStr">
        <is>
          <t>Tasse da pagare:</t>
        </is>
      </c>
      <c r="B13" s="9">
        <f>E7</f>
        <v/>
      </c>
    </row>
    <row r="14">
      <c r="A14" t="inlineStr">
        <is>
          <t>Copertura:</t>
        </is>
      </c>
      <c r="B14" s="15">
        <f>B12/B13</f>
        <v/>
      </c>
    </row>
    <row r="15">
      <c r="A15" t="inlineStr">
        <is>
          <t>Mancante:</t>
        </is>
      </c>
      <c r="B15" s="9">
        <f>MAX(0,B13-B12)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</cols>
  <sheetData>
    <row r="1">
      <c r="A1" s="1" t="inlineStr">
        <is>
          <t>CATEGORIE SPESE</t>
        </is>
      </c>
    </row>
    <row r="3">
      <c r="A3" s="6" t="inlineStr">
        <is>
          <t>SPESE FISSE</t>
        </is>
      </c>
    </row>
    <row r="4">
      <c r="A4" s="8" t="inlineStr">
        <is>
          <t>Categoria</t>
        </is>
      </c>
      <c r="B4" s="8" t="inlineStr">
        <is>
          <t>Budget Mensile</t>
        </is>
      </c>
      <c r="C4" s="8" t="inlineStr">
        <is>
          <t>Icona</t>
        </is>
      </c>
    </row>
    <row r="5">
      <c r="A5" t="inlineStr">
        <is>
          <t>Affitto</t>
        </is>
      </c>
      <c r="B5" s="13" t="n">
        <v>700</v>
      </c>
      <c r="C5" t="inlineStr">
        <is>
          <t>🏠</t>
        </is>
      </c>
    </row>
    <row r="6">
      <c r="A6" t="inlineStr">
        <is>
          <t>Palestra</t>
        </is>
      </c>
      <c r="B6" s="13" t="n">
        <v>35</v>
      </c>
      <c r="C6" t="inlineStr">
        <is>
          <t>💪</t>
        </is>
      </c>
    </row>
    <row r="7">
      <c r="A7" t="inlineStr">
        <is>
          <t>Commercialista</t>
        </is>
      </c>
      <c r="B7" s="13" t="n">
        <v>25</v>
      </c>
      <c r="C7" t="inlineStr">
        <is>
          <t>📋</t>
        </is>
      </c>
    </row>
    <row r="8">
      <c r="A8" s="2" t="inlineStr">
        <is>
          <t>Totale spese fisse:</t>
        </is>
      </c>
      <c r="B8" s="9">
        <f>SUM(B5:B7)</f>
        <v/>
      </c>
    </row>
    <row r="11">
      <c r="A11" s="6" t="inlineStr">
        <is>
          <t>SPESE VARIABILI</t>
        </is>
      </c>
    </row>
    <row r="12">
      <c r="A12" s="8" t="inlineStr">
        <is>
          <t>Categoria</t>
        </is>
      </c>
      <c r="B12" s="8" t="inlineStr">
        <is>
          <t>Budget Mensile</t>
        </is>
      </c>
      <c r="C12" s="8" t="inlineStr">
        <is>
          <t>Icona</t>
        </is>
      </c>
    </row>
    <row r="13">
      <c r="A13" t="inlineStr">
        <is>
          <t>Spesa alimentare</t>
        </is>
      </c>
      <c r="B13" s="13" t="n">
        <v>200</v>
      </c>
      <c r="C13" t="inlineStr">
        <is>
          <t>🛒</t>
        </is>
      </c>
    </row>
    <row r="14">
      <c r="A14" t="inlineStr">
        <is>
          <t>Trasporti</t>
        </is>
      </c>
      <c r="B14" s="13" t="n">
        <v>40</v>
      </c>
      <c r="C14" t="inlineStr">
        <is>
          <t>🚌</t>
        </is>
      </c>
    </row>
    <row r="15">
      <c r="A15" t="inlineStr">
        <is>
          <t>Servizi Digitali</t>
        </is>
      </c>
      <c r="B15" s="13" t="n">
        <v>15</v>
      </c>
      <c r="C15" t="inlineStr">
        <is>
          <t>💻</t>
        </is>
      </c>
    </row>
    <row r="16">
      <c r="A16" t="inlineStr">
        <is>
          <t>Ristoranti</t>
        </is>
      </c>
      <c r="B16" s="13" t="n">
        <v>290</v>
      </c>
      <c r="C16" t="inlineStr">
        <is>
          <t>🍽️</t>
        </is>
      </c>
    </row>
    <row r="17">
      <c r="A17" t="inlineStr">
        <is>
          <t>Cultura</t>
        </is>
      </c>
      <c r="B17" s="13" t="n">
        <v>35</v>
      </c>
      <c r="C17" t="inlineStr">
        <is>
          <t>🎭</t>
        </is>
      </c>
    </row>
    <row r="18">
      <c r="A18" t="inlineStr">
        <is>
          <t>Shopping</t>
        </is>
      </c>
      <c r="B18" s="13" t="n">
        <v>230</v>
      </c>
      <c r="C18" t="inlineStr">
        <is>
          <t>🛍️</t>
        </is>
      </c>
    </row>
    <row r="19">
      <c r="A19" t="inlineStr">
        <is>
          <t>Salute</t>
        </is>
      </c>
      <c r="B19" s="13" t="n">
        <v>380</v>
      </c>
      <c r="C19" t="inlineStr">
        <is>
          <t>⚕️</t>
        </is>
      </c>
    </row>
    <row r="20">
      <c r="A20" t="inlineStr">
        <is>
          <t>Contanti</t>
        </is>
      </c>
      <c r="B20" s="13" t="n">
        <v>100</v>
      </c>
      <c r="C20" t="inlineStr">
        <is>
          <t>💵</t>
        </is>
      </c>
    </row>
    <row r="21">
      <c r="A21" s="2" t="inlineStr">
        <is>
          <t>Totale spese variabili:</t>
        </is>
      </c>
      <c r="B21" s="9">
        <f>SUM(B13:B20)</f>
        <v/>
      </c>
    </row>
    <row r="23">
      <c r="A23" s="2" t="inlineStr">
        <is>
          <t>TOTALE BUDGET SPESE:</t>
        </is>
      </c>
      <c r="B23" s="14">
        <f>B8+B21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PREVISIONALE 2026</t>
        </is>
      </c>
    </row>
    <row r="3">
      <c r="A3" t="inlineStr"/>
      <c r="B3" s="16" t="inlineStr">
        <is>
          <t>EREDITÀ</t>
        </is>
      </c>
      <c r="C3" s="16" t="inlineStr">
        <is>
          <t>Gen</t>
        </is>
      </c>
      <c r="D3" s="16" t="inlineStr">
        <is>
          <t>Feb</t>
        </is>
      </c>
      <c r="E3" s="16" t="inlineStr">
        <is>
          <t>Mar</t>
        </is>
      </c>
      <c r="F3" s="16" t="inlineStr">
        <is>
          <t>Apr</t>
        </is>
      </c>
      <c r="G3" s="16" t="inlineStr">
        <is>
          <t>Mag</t>
        </is>
      </c>
      <c r="H3" s="16" t="inlineStr">
        <is>
          <t>Giu</t>
        </is>
      </c>
      <c r="I3" s="16" t="inlineStr">
        <is>
          <t>Lug</t>
        </is>
      </c>
      <c r="J3" s="16" t="inlineStr">
        <is>
          <t>Ago</t>
        </is>
      </c>
      <c r="K3" s="16" t="inlineStr">
        <is>
          <t>Set</t>
        </is>
      </c>
      <c r="L3" s="16" t="inlineStr">
        <is>
          <t>Ott</t>
        </is>
      </c>
      <c r="M3" s="16" t="inlineStr">
        <is>
          <t>Nov</t>
        </is>
      </c>
      <c r="N3" s="16" t="inlineStr">
        <is>
          <t>Dic</t>
        </is>
      </c>
      <c r="O3" s="16" t="inlineStr">
        <is>
          <t>TOTALE</t>
        </is>
      </c>
    </row>
    <row r="4">
      <c r="A4" s="6" t="inlineStr">
        <is>
          <t>RICAVI</t>
        </is>
      </c>
    </row>
    <row r="5">
      <c r="A5" t="inlineStr">
        <is>
          <t>Conto in banca</t>
        </is>
      </c>
      <c r="B5" s="13" t="n">
        <v>5958.57</v>
      </c>
      <c r="O5" s="9">
        <f>B5</f>
        <v/>
      </c>
    </row>
    <row r="6">
      <c r="A6" t="inlineStr">
        <is>
          <t>Ufficio Furore</t>
        </is>
      </c>
      <c r="C6" s="9">
        <f>Overview!$B$10</f>
        <v/>
      </c>
      <c r="D6" s="9">
        <f>Overview!$B$10</f>
        <v/>
      </c>
      <c r="E6" s="9">
        <f>Overview!$B$10</f>
        <v/>
      </c>
      <c r="F6" s="9">
        <f>Overview!$B$10</f>
        <v/>
      </c>
      <c r="G6" s="9">
        <f>Overview!$B$10</f>
        <v/>
      </c>
      <c r="H6" s="9">
        <f>Overview!$B$10</f>
        <v/>
      </c>
      <c r="I6" s="9">
        <f>Overview!$B$10</f>
        <v/>
      </c>
      <c r="J6" s="9">
        <f>Overview!$B$10</f>
        <v/>
      </c>
      <c r="K6" s="9">
        <f>Overview!$B$10</f>
        <v/>
      </c>
      <c r="L6" s="9">
        <f>Overview!$B$10</f>
        <v/>
      </c>
      <c r="M6" s="9">
        <f>Overview!$B$10</f>
        <v/>
      </c>
      <c r="N6" s="9">
        <f>Overview!$B$10</f>
        <v/>
      </c>
      <c r="O6" s="9">
        <f>SUM(C6:N6)</f>
        <v/>
      </c>
    </row>
    <row r="7">
      <c r="A7" t="inlineStr">
        <is>
          <t>Altre entrate</t>
        </is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9">
        <f>SUM(C7:N7)</f>
        <v/>
      </c>
    </row>
    <row r="8">
      <c r="A8" s="2" t="inlineStr">
        <is>
          <t>TOTALE RICAVI</t>
        </is>
      </c>
      <c r="B8" s="9">
        <f>B5</f>
        <v/>
      </c>
      <c r="C8" s="9">
        <f>SUM(C6:C7)</f>
        <v/>
      </c>
      <c r="D8" s="9">
        <f>SUM(D6:D7)</f>
        <v/>
      </c>
      <c r="E8" s="9">
        <f>SUM(E6:E7)</f>
        <v/>
      </c>
      <c r="F8" s="9">
        <f>SUM(F6:F7)</f>
        <v/>
      </c>
      <c r="G8" s="9">
        <f>SUM(G6:G7)</f>
        <v/>
      </c>
      <c r="H8" s="9">
        <f>SUM(H6:H7)</f>
        <v/>
      </c>
      <c r="I8" s="9">
        <f>SUM(I6:I7)</f>
        <v/>
      </c>
      <c r="J8" s="9">
        <f>SUM(J6:J7)</f>
        <v/>
      </c>
      <c r="K8" s="9">
        <f>SUM(K6:K7)</f>
        <v/>
      </c>
      <c r="L8" s="9">
        <f>SUM(L6:L7)</f>
        <v/>
      </c>
      <c r="M8" s="9">
        <f>SUM(M6:M7)</f>
        <v/>
      </c>
      <c r="N8" s="9">
        <f>SUM(N6:N7)</f>
        <v/>
      </c>
      <c r="O8" s="14">
        <f>B8+SUM(C8:N8)</f>
        <v/>
      </c>
    </row>
    <row r="10">
      <c r="A10" s="6" t="inlineStr">
        <is>
          <t>SPESE FISSE</t>
        </is>
      </c>
    </row>
    <row r="11">
      <c r="A11" t="inlineStr">
        <is>
          <t>Affitto</t>
        </is>
      </c>
      <c r="C11" s="11" t="n">
        <v>700</v>
      </c>
      <c r="D11" s="11" t="n">
        <v>700</v>
      </c>
      <c r="E11" s="11" t="n">
        <v>700</v>
      </c>
      <c r="F11" s="11" t="n">
        <v>700</v>
      </c>
      <c r="G11" s="11" t="n">
        <v>700</v>
      </c>
      <c r="H11" s="11" t="n">
        <v>700</v>
      </c>
      <c r="I11" s="11" t="n">
        <v>700</v>
      </c>
      <c r="J11" s="11" t="n">
        <v>700</v>
      </c>
      <c r="K11" s="11" t="n">
        <v>700</v>
      </c>
      <c r="L11" s="11" t="n">
        <v>700</v>
      </c>
      <c r="M11" s="11" t="n">
        <v>700</v>
      </c>
      <c r="N11" s="11" t="n">
        <v>700</v>
      </c>
      <c r="O11" s="9">
        <f>SUM(C11:N11)</f>
        <v/>
      </c>
    </row>
    <row r="12">
      <c r="A12" t="inlineStr">
        <is>
          <t>Palestra</t>
        </is>
      </c>
      <c r="C12" s="11" t="n">
        <v>350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400</v>
      </c>
      <c r="M12" s="11" t="n">
        <v>0</v>
      </c>
      <c r="N12" s="11" t="n">
        <v>0</v>
      </c>
      <c r="O12" s="9">
        <f>SUM(C12:N12)</f>
        <v/>
      </c>
    </row>
    <row r="13">
      <c r="A13" t="inlineStr">
        <is>
          <t>Commercialista</t>
        </is>
      </c>
      <c r="C13" s="11" t="n">
        <v>300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9">
        <f>SUM(C13:N13)</f>
        <v/>
      </c>
    </row>
    <row r="14">
      <c r="A14" t="inlineStr">
        <is>
          <t>IVA 2025 (Giugno)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7527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9">
        <f>SUM(C14:N14)</f>
        <v/>
      </c>
    </row>
    <row r="15">
      <c r="A15" t="inlineStr">
        <is>
          <t>IVA 2025 (Novembre)</t>
        </is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5460</v>
      </c>
      <c r="N15" s="11" t="n">
        <v>0</v>
      </c>
      <c r="O15" s="9">
        <f>SUM(C15:N15)</f>
        <v/>
      </c>
    </row>
    <row r="16">
      <c r="A16" t="inlineStr">
        <is>
          <t>Accantonamento XEON tasse</t>
        </is>
      </c>
      <c r="C16" s="9">
        <f>Overview!$C$15</f>
        <v/>
      </c>
      <c r="D16" s="9">
        <f>Overview!$C$15</f>
        <v/>
      </c>
      <c r="E16" s="9">
        <f>Overview!$C$15</f>
        <v/>
      </c>
      <c r="F16" s="9">
        <f>Overview!$C$15</f>
        <v/>
      </c>
      <c r="G16" s="9">
        <f>Overview!$C$15</f>
        <v/>
      </c>
      <c r="H16" s="9">
        <f>Overview!$C$15</f>
        <v/>
      </c>
      <c r="I16" s="9">
        <f>Overview!$C$15</f>
        <v/>
      </c>
      <c r="J16" s="9">
        <f>Overview!$C$15</f>
        <v/>
      </c>
      <c r="K16" s="9">
        <f>Overview!$C$15</f>
        <v/>
      </c>
      <c r="L16" s="9">
        <f>Overview!$C$15</f>
        <v/>
      </c>
      <c r="M16" s="9">
        <f>Overview!$C$15</f>
        <v/>
      </c>
      <c r="N16" s="9">
        <f>Overview!$C$15</f>
        <v/>
      </c>
      <c r="O16" s="9">
        <f>SUM(C16:N16)</f>
        <v/>
      </c>
    </row>
    <row r="17">
      <c r="A17" t="inlineStr">
        <is>
          <t>Accantonamento ETF</t>
        </is>
      </c>
      <c r="C17" s="9">
        <f>Overview!$C$16</f>
        <v/>
      </c>
      <c r="D17" s="9">
        <f>Overview!$C$16</f>
        <v/>
      </c>
      <c r="E17" s="9">
        <f>Overview!$C$16</f>
        <v/>
      </c>
      <c r="F17" s="9">
        <f>Overview!$C$16</f>
        <v/>
      </c>
      <c r="G17" s="9">
        <f>Overview!$C$16</f>
        <v/>
      </c>
      <c r="H17" s="9">
        <f>Overview!$C$16</f>
        <v/>
      </c>
      <c r="I17" s="9">
        <f>Overview!$C$16</f>
        <v/>
      </c>
      <c r="J17" s="9">
        <f>Overview!$C$16</f>
        <v/>
      </c>
      <c r="K17" s="9">
        <f>Overview!$C$16</f>
        <v/>
      </c>
      <c r="L17" s="9">
        <f>Overview!$C$16</f>
        <v/>
      </c>
      <c r="M17" s="9">
        <f>Overview!$C$16</f>
        <v/>
      </c>
      <c r="N17" s="9">
        <f>Overview!$C$16</f>
        <v/>
      </c>
      <c r="O17" s="9">
        <f>SUM(C17:N17)</f>
        <v/>
      </c>
    </row>
    <row r="18">
      <c r="A18" s="2" t="inlineStr">
        <is>
          <t>TOTALE SPESE FISSE</t>
        </is>
      </c>
      <c r="C18" s="9">
        <f>SUM(C11:C17)</f>
        <v/>
      </c>
      <c r="D18" s="9">
        <f>SUM(D11:D17)</f>
        <v/>
      </c>
      <c r="E18" s="9">
        <f>SUM(E11:E17)</f>
        <v/>
      </c>
      <c r="F18" s="9">
        <f>SUM(F11:F17)</f>
        <v/>
      </c>
      <c r="G18" s="9">
        <f>SUM(G11:G17)</f>
        <v/>
      </c>
      <c r="H18" s="9">
        <f>SUM(H11:H17)</f>
        <v/>
      </c>
      <c r="I18" s="9">
        <f>SUM(I11:I17)</f>
        <v/>
      </c>
      <c r="J18" s="9">
        <f>SUM(J11:J17)</f>
        <v/>
      </c>
      <c r="K18" s="9">
        <f>SUM(K11:K17)</f>
        <v/>
      </c>
      <c r="L18" s="9">
        <f>SUM(L11:L17)</f>
        <v/>
      </c>
      <c r="M18" s="9">
        <f>SUM(M11:M17)</f>
        <v/>
      </c>
      <c r="N18" s="9">
        <f>SUM(N11:N17)</f>
        <v/>
      </c>
      <c r="O18" s="9">
        <f>SUM(O11:O17)</f>
        <v/>
      </c>
    </row>
    <row r="20">
      <c r="A20" s="6" t="inlineStr">
        <is>
          <t>SPESE VARIABILI</t>
        </is>
      </c>
    </row>
    <row r="21">
      <c r="A21" t="inlineStr">
        <is>
          <t>Spesa alimentare</t>
        </is>
      </c>
      <c r="C21" s="11" t="n">
        <v>200</v>
      </c>
      <c r="D21" s="11" t="n">
        <v>200</v>
      </c>
      <c r="E21" s="11" t="n">
        <v>200</v>
      </c>
      <c r="F21" s="11" t="n">
        <v>200</v>
      </c>
      <c r="G21" s="11" t="n">
        <v>200</v>
      </c>
      <c r="H21" s="11" t="n">
        <v>200</v>
      </c>
      <c r="I21" s="11" t="n">
        <v>200</v>
      </c>
      <c r="J21" s="11" t="n">
        <v>200</v>
      </c>
      <c r="K21" s="11" t="n">
        <v>200</v>
      </c>
      <c r="L21" s="11" t="n">
        <v>200</v>
      </c>
      <c r="M21" s="11" t="n">
        <v>200</v>
      </c>
      <c r="N21" s="11" t="n">
        <v>200</v>
      </c>
      <c r="O21" s="9">
        <f>SUM(C21:N21)</f>
        <v/>
      </c>
    </row>
    <row r="22">
      <c r="A22" t="inlineStr">
        <is>
          <t>Trasporti</t>
        </is>
      </c>
      <c r="C22" s="11" t="n">
        <v>40</v>
      </c>
      <c r="D22" s="11" t="n">
        <v>40</v>
      </c>
      <c r="E22" s="11" t="n">
        <v>40</v>
      </c>
      <c r="F22" s="11" t="n">
        <v>40</v>
      </c>
      <c r="G22" s="11" t="n">
        <v>40</v>
      </c>
      <c r="H22" s="11" t="n">
        <v>40</v>
      </c>
      <c r="I22" s="11" t="n">
        <v>40</v>
      </c>
      <c r="J22" s="11" t="n">
        <v>40</v>
      </c>
      <c r="K22" s="11" t="n">
        <v>40</v>
      </c>
      <c r="L22" s="11" t="n">
        <v>40</v>
      </c>
      <c r="M22" s="11" t="n">
        <v>40</v>
      </c>
      <c r="N22" s="11" t="n">
        <v>40</v>
      </c>
      <c r="O22" s="9">
        <f>SUM(C22:N22)</f>
        <v/>
      </c>
    </row>
    <row r="23">
      <c r="A23" t="inlineStr">
        <is>
          <t>Servizi Digitali</t>
        </is>
      </c>
      <c r="C23" s="11" t="n">
        <v>15</v>
      </c>
      <c r="D23" s="11" t="n">
        <v>15</v>
      </c>
      <c r="E23" s="11" t="n">
        <v>15</v>
      </c>
      <c r="F23" s="11" t="n">
        <v>15</v>
      </c>
      <c r="G23" s="11" t="n">
        <v>15</v>
      </c>
      <c r="H23" s="11" t="n">
        <v>15</v>
      </c>
      <c r="I23" s="11" t="n">
        <v>15</v>
      </c>
      <c r="J23" s="11" t="n">
        <v>15</v>
      </c>
      <c r="K23" s="11" t="n">
        <v>15</v>
      </c>
      <c r="L23" s="11" t="n">
        <v>15</v>
      </c>
      <c r="M23" s="11" t="n">
        <v>15</v>
      </c>
      <c r="N23" s="11" t="n">
        <v>15</v>
      </c>
      <c r="O23" s="9">
        <f>SUM(C23:N23)</f>
        <v/>
      </c>
    </row>
    <row r="24">
      <c r="A24" t="inlineStr">
        <is>
          <t>Ristoranti</t>
        </is>
      </c>
      <c r="C24" s="11" t="n">
        <v>290</v>
      </c>
      <c r="D24" s="11" t="n">
        <v>290</v>
      </c>
      <c r="E24" s="11" t="n">
        <v>290</v>
      </c>
      <c r="F24" s="11" t="n">
        <v>290</v>
      </c>
      <c r="G24" s="11" t="n">
        <v>290</v>
      </c>
      <c r="H24" s="11" t="n">
        <v>290</v>
      </c>
      <c r="I24" s="11" t="n">
        <v>290</v>
      </c>
      <c r="J24" s="11" t="n">
        <v>290</v>
      </c>
      <c r="K24" s="11" t="n">
        <v>290</v>
      </c>
      <c r="L24" s="11" t="n">
        <v>290</v>
      </c>
      <c r="M24" s="11" t="n">
        <v>290</v>
      </c>
      <c r="N24" s="11" t="n">
        <v>290</v>
      </c>
      <c r="O24" s="9">
        <f>SUM(C24:N24)</f>
        <v/>
      </c>
    </row>
    <row r="25">
      <c r="A25" t="inlineStr">
        <is>
          <t>Cultura</t>
        </is>
      </c>
      <c r="C25" s="11" t="n">
        <v>35</v>
      </c>
      <c r="D25" s="11" t="n">
        <v>35</v>
      </c>
      <c r="E25" s="11" t="n">
        <v>35</v>
      </c>
      <c r="F25" s="11" t="n">
        <v>35</v>
      </c>
      <c r="G25" s="11" t="n">
        <v>35</v>
      </c>
      <c r="H25" s="11" t="n">
        <v>35</v>
      </c>
      <c r="I25" s="11" t="n">
        <v>35</v>
      </c>
      <c r="J25" s="11" t="n">
        <v>35</v>
      </c>
      <c r="K25" s="11" t="n">
        <v>35</v>
      </c>
      <c r="L25" s="11" t="n">
        <v>35</v>
      </c>
      <c r="M25" s="11" t="n">
        <v>35</v>
      </c>
      <c r="N25" s="11" t="n">
        <v>35</v>
      </c>
      <c r="O25" s="9">
        <f>SUM(C25:N25)</f>
        <v/>
      </c>
    </row>
    <row r="26">
      <c r="A26" t="inlineStr">
        <is>
          <t>Shopping</t>
        </is>
      </c>
      <c r="C26" s="11" t="n">
        <v>230</v>
      </c>
      <c r="D26" s="11" t="n">
        <v>230</v>
      </c>
      <c r="E26" s="11" t="n">
        <v>230</v>
      </c>
      <c r="F26" s="11" t="n">
        <v>230</v>
      </c>
      <c r="G26" s="11" t="n">
        <v>230</v>
      </c>
      <c r="H26" s="11" t="n">
        <v>230</v>
      </c>
      <c r="I26" s="11" t="n">
        <v>230</v>
      </c>
      <c r="J26" s="11" t="n">
        <v>230</v>
      </c>
      <c r="K26" s="11" t="n">
        <v>230</v>
      </c>
      <c r="L26" s="11" t="n">
        <v>230</v>
      </c>
      <c r="M26" s="11" t="n">
        <v>230</v>
      </c>
      <c r="N26" s="11" t="n">
        <v>230</v>
      </c>
      <c r="O26" s="9">
        <f>SUM(C26:N26)</f>
        <v/>
      </c>
    </row>
    <row r="27">
      <c r="A27" t="inlineStr">
        <is>
          <t>Salute</t>
        </is>
      </c>
      <c r="C27" s="11" t="n">
        <v>380</v>
      </c>
      <c r="D27" s="11" t="n">
        <v>380</v>
      </c>
      <c r="E27" s="11" t="n">
        <v>380</v>
      </c>
      <c r="F27" s="11" t="n">
        <v>380</v>
      </c>
      <c r="G27" s="11" t="n">
        <v>380</v>
      </c>
      <c r="H27" s="11" t="n">
        <v>380</v>
      </c>
      <c r="I27" s="11" t="n">
        <v>380</v>
      </c>
      <c r="J27" s="11" t="n">
        <v>380</v>
      </c>
      <c r="K27" s="11" t="n">
        <v>380</v>
      </c>
      <c r="L27" s="11" t="n">
        <v>380</v>
      </c>
      <c r="M27" s="11" t="n">
        <v>380</v>
      </c>
      <c r="N27" s="11" t="n">
        <v>380</v>
      </c>
      <c r="O27" s="9">
        <f>SUM(C27:N27)</f>
        <v/>
      </c>
    </row>
    <row r="28">
      <c r="A28" t="inlineStr">
        <is>
          <t>Contanti</t>
        </is>
      </c>
      <c r="C28" s="11" t="n">
        <v>100</v>
      </c>
      <c r="D28" s="11" t="n">
        <v>100</v>
      </c>
      <c r="E28" s="11" t="n">
        <v>100</v>
      </c>
      <c r="F28" s="11" t="n">
        <v>100</v>
      </c>
      <c r="G28" s="11" t="n">
        <v>100</v>
      </c>
      <c r="H28" s="11" t="n">
        <v>100</v>
      </c>
      <c r="I28" s="11" t="n">
        <v>100</v>
      </c>
      <c r="J28" s="11" t="n">
        <v>100</v>
      </c>
      <c r="K28" s="11" t="n">
        <v>100</v>
      </c>
      <c r="L28" s="11" t="n">
        <v>100</v>
      </c>
      <c r="M28" s="11" t="n">
        <v>100</v>
      </c>
      <c r="N28" s="11" t="n">
        <v>100</v>
      </c>
      <c r="O28" s="9">
        <f>SUM(C28:N28)</f>
        <v/>
      </c>
    </row>
    <row r="29">
      <c r="A29" s="2" t="inlineStr">
        <is>
          <t>TOTALE SPESE VARIABILI</t>
        </is>
      </c>
      <c r="C29" s="9">
        <f>SUM(C21:C28)</f>
        <v/>
      </c>
      <c r="D29" s="9">
        <f>SUM(D21:D28)</f>
        <v/>
      </c>
      <c r="E29" s="9">
        <f>SUM(E21:E28)</f>
        <v/>
      </c>
      <c r="F29" s="9">
        <f>SUM(F21:F28)</f>
        <v/>
      </c>
      <c r="G29" s="9">
        <f>SUM(G21:G28)</f>
        <v/>
      </c>
      <c r="H29" s="9">
        <f>SUM(H21:H28)</f>
        <v/>
      </c>
      <c r="I29" s="9">
        <f>SUM(I21:I28)</f>
        <v/>
      </c>
      <c r="J29" s="9">
        <f>SUM(J21:J28)</f>
        <v/>
      </c>
      <c r="K29" s="9">
        <f>SUM(K21:K28)</f>
        <v/>
      </c>
      <c r="L29" s="9">
        <f>SUM(L21:L28)</f>
        <v/>
      </c>
      <c r="M29" s="9">
        <f>SUM(M21:M28)</f>
        <v/>
      </c>
      <c r="N29" s="9">
        <f>SUM(N21:N28)</f>
        <v/>
      </c>
      <c r="O29" s="9">
        <f>SUM(O21:O28)</f>
        <v/>
      </c>
    </row>
    <row r="31">
      <c r="A31" s="6" t="inlineStr">
        <is>
          <t>RIEPILOGO</t>
        </is>
      </c>
    </row>
    <row r="32">
      <c r="A32" s="2" t="inlineStr">
        <is>
          <t>Totale Costi</t>
        </is>
      </c>
      <c r="C32" s="9">
        <f>C18+C28</f>
        <v/>
      </c>
      <c r="D32" s="9">
        <f>D18+D28</f>
        <v/>
      </c>
      <c r="E32" s="9">
        <f>E18+E28</f>
        <v/>
      </c>
      <c r="F32" s="9">
        <f>F18+F28</f>
        <v/>
      </c>
      <c r="G32" s="9">
        <f>G18+G28</f>
        <v/>
      </c>
      <c r="H32" s="9">
        <f>H18+H28</f>
        <v/>
      </c>
      <c r="I32" s="9">
        <f>I18+I28</f>
        <v/>
      </c>
      <c r="J32" s="9">
        <f>J18+J28</f>
        <v/>
      </c>
      <c r="K32" s="9">
        <f>K18+K28</f>
        <v/>
      </c>
      <c r="L32" s="9">
        <f>L18+L28</f>
        <v/>
      </c>
      <c r="M32" s="9">
        <f>M18+M28</f>
        <v/>
      </c>
      <c r="N32" s="9">
        <f>N18+N28</f>
        <v/>
      </c>
      <c r="O32" s="9">
        <f>O18+O28</f>
        <v/>
      </c>
    </row>
    <row r="33">
      <c r="A33" s="2" t="inlineStr">
        <is>
          <t>Saldo Mensile</t>
        </is>
      </c>
      <c r="C33" s="9">
        <f>C8-C32</f>
        <v/>
      </c>
      <c r="D33" s="9">
        <f>D8-D32</f>
        <v/>
      </c>
      <c r="E33" s="9">
        <f>E8-E32</f>
        <v/>
      </c>
      <c r="F33" s="9">
        <f>F8-F32</f>
        <v/>
      </c>
      <c r="G33" s="9">
        <f>G8-G32</f>
        <v/>
      </c>
      <c r="H33" s="9">
        <f>H8-H32</f>
        <v/>
      </c>
      <c r="I33" s="9">
        <f>I8-I32</f>
        <v/>
      </c>
      <c r="J33" s="9">
        <f>J8-J32</f>
        <v/>
      </c>
      <c r="K33" s="9">
        <f>K8-K32</f>
        <v/>
      </c>
      <c r="L33" s="9">
        <f>L8-L32</f>
        <v/>
      </c>
      <c r="M33" s="9">
        <f>M8-M32</f>
        <v/>
      </c>
      <c r="N33" s="9">
        <f>N8-N32</f>
        <v/>
      </c>
    </row>
    <row r="34">
      <c r="A34" s="2" t="inlineStr">
        <is>
          <t>Saldo Cumulativo</t>
        </is>
      </c>
      <c r="B34" s="9">
        <f>B5</f>
        <v/>
      </c>
      <c r="C34" s="9">
        <f>B34+C33</f>
        <v/>
      </c>
      <c r="D34" s="9">
        <f>C34+D33</f>
        <v/>
      </c>
      <c r="E34" s="9">
        <f>D34+E33</f>
        <v/>
      </c>
      <c r="F34" s="9">
        <f>E34+F33</f>
        <v/>
      </c>
      <c r="G34" s="9">
        <f>F34+G33</f>
        <v/>
      </c>
      <c r="H34" s="9">
        <f>G34+H33</f>
        <v/>
      </c>
      <c r="I34" s="9">
        <f>H34+I33</f>
        <v/>
      </c>
      <c r="J34" s="9">
        <f>I34+J33</f>
        <v/>
      </c>
      <c r="K34" s="9">
        <f>J34+K33</f>
        <v/>
      </c>
      <c r="L34" s="9">
        <f>K34+L33</f>
        <v/>
      </c>
      <c r="M34" s="9">
        <f>L34+M33</f>
        <v/>
      </c>
      <c r="N34" s="9">
        <f>M34+N33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2026-01-03T18:01:48Z</dcterms:created>
  <dcterms:modified xsi:type="dcterms:W3CDTF">2026-01-03T18:01:48Z</dcterms:modified>
</cp:coreProperties>
</file>